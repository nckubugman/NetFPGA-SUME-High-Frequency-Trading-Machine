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nf_riffa_dma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s="1"/>
  <c r="C14" i="2" s="1"/>
  <c r="C15" i="2" s="1"/>
  <c r="C18" i="2" s="1"/>
  <c r="C21" i="2" s="1"/>
  <c r="C24" i="2" s="1"/>
  <c r="C27" i="2" s="1"/>
  <c r="C30" i="2" s="1"/>
  <c r="C33" i="2" s="1"/>
  <c r="C36" i="2" s="1"/>
  <c r="C40" i="2" s="1"/>
  <c r="C47" i="2" s="1"/>
  <c r="C50" i="2" s="1"/>
  <c r="C54" i="2" s="1"/>
  <c r="C61" i="2" s="1"/>
  <c r="C66" i="2" s="1"/>
  <c r="C69" i="2" s="1"/>
  <c r="C72" i="2" s="1"/>
  <c r="C76" i="2" s="1"/>
  <c r="C84" i="2" s="1"/>
  <c r="C86" i="2" s="1"/>
  <c r="C88" i="2" s="1"/>
  <c r="C90" i="2" s="1"/>
  <c r="C92"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<sst xmlns="http://schemas.openxmlformats.org/spreadsheetml/2006/main" count="788" uniqueCount="299">
  <si>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</si>
  <si>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</si>
  <si>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</si>
  <si>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</si>
  <si>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</si>
  <si>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</si>
  <si>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</si>
  <si>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</si>
  <si>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</si>
  <si>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</si>
  <si>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</si>
  <si>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</si>
  <si>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</si>
  <si>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</si>
  <si>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</si>
  <si>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</si>
  <si>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</si>
  <si>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</si>
  <si>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</si>
  <si>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</si>
  <si>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</si>
  <si>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</si>
  <si>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</si>
  <si>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</si>
  <si>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</si>
  <si>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</si>
  <si>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</si>
  <si>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</si>
  <si>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</si>
  <si>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</si>
  <si>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</si>
  <si>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</si>
  <si>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</si>
  <si>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</si>
  <si>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</si>
  <si>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</si>
  <si>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</si>
  <si>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</si>
  <si>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</si>
  <si>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</si>
  <si>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</si>
  <si>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</si>
  <si>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</si>
  <si>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</si>
  <si>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</si>
  <si>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</si>
  <si>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</si>
  <si>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</si>
  <si>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</si>
  <si>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</si>
  <si>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</si>
  <si>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</si>
  <si>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</si>
  <si>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</si>
  <si>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</si>
  <si>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</si>
  <si>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</si>
  <si>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</si>
  <si>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</si>
  <si>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</si>
  <si>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</si>
  <si>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</si>
  <si>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</si>
  <si>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</si>
  <si>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</si>
  <si>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</si>
  <si>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</si>
  <si>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</si>
  <si>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</si>
  <si>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</si>
  <si>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</si>
  <si>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</si>
  <si>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</si>
  <si>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</si>
  <si>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Debug</t>
  </si>
  <si>
    <t>OS:</t>
  </si>
  <si>
    <t>Debug Regiter, for simulation and debug purposes. Returns the value written to the register plus the default value.</t>
  </si>
  <si>
    <t xml:space="preserve"> Copyright (c) 2015 University of Cambridge</t>
  </si>
  <si>
    <t xml:space="preserve"> All rights reserved.</t>
  </si>
  <si>
    <t xml:space="preserve"> @NETFPGA_LICENSE_HEADER_START@</t>
  </si>
  <si>
    <t xml:space="preserve"> @NETFPGA_LICENSE_HEADER_END@</t>
  </si>
  <si>
    <t>1:0</t>
  </si>
  <si>
    <t>2'h0</t>
  </si>
  <si>
    <t>7:0</t>
  </si>
  <si>
    <t>4</t>
  </si>
  <si>
    <t>5</t>
  </si>
  <si>
    <t>1'h0</t>
  </si>
  <si>
    <t>8</t>
  </si>
  <si>
    <t>12</t>
  </si>
  <si>
    <t>31</t>
  </si>
  <si>
    <t>29:24</t>
  </si>
  <si>
    <t>8'h0</t>
  </si>
  <si>
    <t>6'h0</t>
  </si>
  <si>
    <t>NF_RIFFA_DMA</t>
  </si>
  <si>
    <t>32'h00001FFA</t>
  </si>
  <si>
    <t>RqPkt</t>
  </si>
  <si>
    <t>Packets through RQ Interface</t>
  </si>
  <si>
    <t>Pkt</t>
  </si>
  <si>
    <t>PktOvf</t>
  </si>
  <si>
    <t>Number of packets through the RQ Interface</t>
  </si>
  <si>
    <t>RcPkt</t>
  </si>
  <si>
    <t>Packets through RC Interface</t>
  </si>
  <si>
    <t>Number of packets through the RC Interface</t>
  </si>
  <si>
    <t>CqPkt</t>
  </si>
  <si>
    <t>Packets through CQ Interface</t>
  </si>
  <si>
    <t>Number of packets through the CQ Interface</t>
  </si>
  <si>
    <t>CcPkt</t>
  </si>
  <si>
    <t>Packets through CC Interface</t>
  </si>
  <si>
    <t>Number of packets through the CC Interface</t>
  </si>
  <si>
    <t>XgeTxPkt</t>
  </si>
  <si>
    <t>Packets through XGE Tx Interface</t>
  </si>
  <si>
    <t>Number of packets through the XGE Tx Interface</t>
  </si>
  <si>
    <t>XgeRxPkt</t>
  </si>
  <si>
    <t>Packets through XGE Rx Interface</t>
  </si>
  <si>
    <t>Number of packets through the XGE Rx Interface</t>
  </si>
  <si>
    <t>PcieRq</t>
  </si>
  <si>
    <t>PCIe Rq Signals</t>
  </si>
  <si>
    <t>PcieRqSeqNum</t>
  </si>
  <si>
    <t>PCIE RQ Seq number, latched on valid</t>
  </si>
  <si>
    <t>3:0</t>
  </si>
  <si>
    <t>PcieRqTag</t>
  </si>
  <si>
    <t>PCIE RQ Tag, latched on valid</t>
  </si>
  <si>
    <t>20:16</t>
  </si>
  <si>
    <t>4'h0</t>
  </si>
  <si>
    <t>PciePhy</t>
  </si>
  <si>
    <t>PCIe PHY status</t>
  </si>
  <si>
    <t>PhyLinkDown</t>
  </si>
  <si>
    <t>PhyLinkStatus</t>
  </si>
  <si>
    <t>PHY link down</t>
  </si>
  <si>
    <t>PHY link status</t>
  </si>
  <si>
    <t>2:1</t>
  </si>
  <si>
    <t>PcieConfig</t>
  </si>
  <si>
    <t>PCIe Config values (status only)</t>
  </si>
  <si>
    <t>CurrentSpeed</t>
  </si>
  <si>
    <t>Current PCI Speed</t>
  </si>
  <si>
    <t>2:0</t>
  </si>
  <si>
    <t>MaxPayload</t>
  </si>
  <si>
    <t>Max Payload</t>
  </si>
  <si>
    <t>6:4</t>
  </si>
  <si>
    <t>MaxReadReq</t>
  </si>
  <si>
    <t>Max Read Request</t>
  </si>
  <si>
    <t>10:8</t>
  </si>
  <si>
    <t>3'h0</t>
  </si>
  <si>
    <t>FunctionStatus</t>
  </si>
  <si>
    <t>Function Status</t>
  </si>
  <si>
    <t>19:12</t>
  </si>
  <si>
    <t>FunctionPowerState</t>
  </si>
  <si>
    <t>Function Power State</t>
  </si>
  <si>
    <t>25:20</t>
  </si>
  <si>
    <t>PcieConfig2</t>
  </si>
  <si>
    <t>VfStatus</t>
  </si>
  <si>
    <t>VF Status</t>
  </si>
  <si>
    <t>11:0</t>
  </si>
  <si>
    <t>12'h0</t>
  </si>
  <si>
    <t>VfPowerState</t>
  </si>
  <si>
    <t>VF Power State</t>
  </si>
  <si>
    <t>29:12</t>
  </si>
  <si>
    <t>18'h0</t>
  </si>
  <si>
    <t>LinkPowerState</t>
  </si>
  <si>
    <t>Link Power State</t>
  </si>
  <si>
    <t>29:28</t>
  </si>
  <si>
    <t>PcieError</t>
  </si>
  <si>
    <t>PCIe Error Indications</t>
  </si>
  <si>
    <t>ErrCorr</t>
  </si>
  <si>
    <t>Correctable Error</t>
  </si>
  <si>
    <t>ErrNonFatal</t>
  </si>
  <si>
    <t>Non Fatal Error</t>
  </si>
  <si>
    <t>ErrFatal</t>
  </si>
  <si>
    <t>Fatal Error</t>
  </si>
  <si>
    <t>PcieMisc</t>
  </si>
  <si>
    <t>PCIe Misc</t>
  </si>
  <si>
    <t>LtssmState</t>
  </si>
  <si>
    <t>LTSSM state</t>
  </si>
  <si>
    <t>5:0</t>
  </si>
  <si>
    <t>LtrEnable</t>
  </si>
  <si>
    <t>LTR Enable</t>
  </si>
  <si>
    <t>RcbStatus</t>
  </si>
  <si>
    <t>RCB status</t>
  </si>
  <si>
    <t>13:12</t>
  </si>
  <si>
    <t>DpaSubstateChange</t>
  </si>
  <si>
    <t>DPA Substate Change</t>
  </si>
  <si>
    <t>17:16</t>
  </si>
  <si>
    <t>ObffEnable</t>
  </si>
  <si>
    <t>OBFF Enable</t>
  </si>
  <si>
    <t>20</t>
  </si>
  <si>
    <t>PlStatusChange</t>
  </si>
  <si>
    <t>PL Status Change</t>
  </si>
  <si>
    <t>24</t>
  </si>
  <si>
    <t>PcieTph</t>
  </si>
  <si>
    <t>PCIe TPH</t>
  </si>
  <si>
    <t>TphRequesterEnable</t>
  </si>
  <si>
    <t>TPH requester enable</t>
  </si>
  <si>
    <t>TphStMode</t>
  </si>
  <si>
    <t>TPH ST Mode</t>
  </si>
  <si>
    <t>VfTphRequesterEnable</t>
  </si>
  <si>
    <t>VF TPH Requester Enable</t>
  </si>
  <si>
    <t>7:2</t>
  </si>
  <si>
    <t>13:8</t>
  </si>
  <si>
    <t>VfTphStMode</t>
  </si>
  <si>
    <t>VF TPH ST Mode</t>
  </si>
  <si>
    <t>31:14</t>
  </si>
  <si>
    <t>PcieFc1</t>
  </si>
  <si>
    <t xml:space="preserve">PCIe FC </t>
  </si>
  <si>
    <t>FcPh</t>
  </si>
  <si>
    <t>FC PH</t>
  </si>
  <si>
    <t>FcPd</t>
  </si>
  <si>
    <t>FC PD</t>
  </si>
  <si>
    <t>19:8</t>
  </si>
  <si>
    <t>PcieFc2</t>
  </si>
  <si>
    <t>FcNph</t>
  </si>
  <si>
    <t>FC NPH</t>
  </si>
  <si>
    <t>FcNpd</t>
  </si>
  <si>
    <t>FC NPD</t>
  </si>
  <si>
    <t>PcieFc3</t>
  </si>
  <si>
    <t>FcCplh</t>
  </si>
  <si>
    <t>FcCpld</t>
  </si>
  <si>
    <t>FC CPLD</t>
  </si>
  <si>
    <t>FC CPLH</t>
  </si>
  <si>
    <t>FC Select</t>
  </si>
  <si>
    <t>FcSel</t>
  </si>
  <si>
    <t>22:20</t>
  </si>
  <si>
    <t>PcieInterrupt</t>
  </si>
  <si>
    <t>InterruptInt</t>
  </si>
  <si>
    <t>Interrupt</t>
  </si>
  <si>
    <t>InterruptPending</t>
  </si>
  <si>
    <t>Interrupt Pending</t>
  </si>
  <si>
    <t>5:4</t>
  </si>
  <si>
    <t>InterruptSent</t>
  </si>
  <si>
    <t>Interrupt Sent</t>
  </si>
  <si>
    <t>InterruptMsiEnable</t>
  </si>
  <si>
    <t>Interrupt MSI Enable</t>
  </si>
  <si>
    <t>InterruptMsiVfEnable</t>
  </si>
  <si>
    <t>Interrupt MSI VF Enable</t>
  </si>
  <si>
    <t>21:16</t>
  </si>
  <si>
    <t>InterruptMsiMmEnable</t>
  </si>
  <si>
    <t>Interrupt MSI MM Enable</t>
  </si>
  <si>
    <t>InterruptMsiMaskUpdate</t>
  </si>
  <si>
    <t>Interrupt MSI Mask Update</t>
  </si>
  <si>
    <t>PcieMsiData</t>
  </si>
  <si>
    <t>InterruptMsiData</t>
  </si>
  <si>
    <t>MSI Data</t>
  </si>
  <si>
    <t>PcieMsiInt</t>
  </si>
  <si>
    <t>PCIe MSI Interrupt Data</t>
  </si>
  <si>
    <t xml:space="preserve">PCIe MSI Interrupt </t>
  </si>
  <si>
    <t>InterruptMsiInt</t>
  </si>
  <si>
    <t>MSI Interrupt</t>
  </si>
  <si>
    <t>PcieMsiPendingStatus</t>
  </si>
  <si>
    <t>PCIe MSI Pending Status</t>
  </si>
  <si>
    <t>InterruptMsiPendingStatus</t>
  </si>
  <si>
    <t>MSI Pending Status [31:0]</t>
  </si>
  <si>
    <t>PcieMsiPendingStatus2</t>
  </si>
  <si>
    <t>MSI Pending Status [63:32]</t>
  </si>
  <si>
    <t>PCIe MSI Pending Status - continued</t>
  </si>
  <si>
    <t>PCIeInterrupt2</t>
  </si>
  <si>
    <t>PCIe MSI Interrupt</t>
  </si>
  <si>
    <t>InterruptMsiSelect</t>
  </si>
  <si>
    <t>Interrupt MSI Select</t>
  </si>
  <si>
    <t>InterruptMsiSent</t>
  </si>
  <si>
    <t>Interrupt MSI Sent</t>
  </si>
  <si>
    <t>Interrupt MSI Fail</t>
  </si>
  <si>
    <t>InterruptMsiFail</t>
  </si>
  <si>
    <t>InterruptMsiAttr</t>
  </si>
  <si>
    <t>Interrupt MSI Attribute</t>
  </si>
  <si>
    <t>InterruptMsiTphPresent</t>
  </si>
  <si>
    <t>Interrupt MSI TPH Present</t>
  </si>
  <si>
    <t>14:13</t>
  </si>
  <si>
    <t>InterruptMsiTphType</t>
  </si>
  <si>
    <t>Interrupt MSI TPH Type</t>
  </si>
  <si>
    <t>InterruptMsiTphStTag</t>
  </si>
  <si>
    <t>Interrupt MSI TPH ST Tag</t>
  </si>
  <si>
    <t>24:16</t>
  </si>
  <si>
    <t>9'h0</t>
  </si>
  <si>
    <t>InterruptMsiFunctionNumber</t>
  </si>
  <si>
    <t>Interrupt MSI Function Number</t>
  </si>
  <si>
    <t>30:28</t>
  </si>
  <si>
    <t>NegotiatedWidth</t>
  </si>
  <si>
    <t>Negotiated Width</t>
  </si>
  <si>
    <t>19:16</t>
  </si>
  <si>
    <t>Little</t>
  </si>
  <si>
    <t>Endian Type</t>
  </si>
  <si>
    <t>Windows</t>
  </si>
  <si>
    <t>NF_10G_INTERFACE</t>
  </si>
  <si>
    <t>Reset</t>
  </si>
  <si>
    <t>Reset elemens of the module</t>
  </si>
  <si>
    <t>15:0</t>
  </si>
  <si>
    <t>WOE</t>
  </si>
  <si>
    <t>16'h0</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</si>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</sst>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Border="1" applyAlignment="1">
      <alignment horizontal="center" vertical="top" wrapText="1"/>
    </xf>
    <xf numFmtId="0" fontId="0" fillId="0" borderId="0" xfId="0" applyBorder="1" applyAlignment="1">
      <alignment vertical="top"/>
    </xf>
    <xf numFmtId="0" fontId="0" fillId="0" borderId="3"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49" fontId="4" fillId="0" borderId="0" xfId="1" applyNumberFormat="1" applyAlignment="1">
      <alignment horizontal="center" vertical="top" wrapText="1"/>
    </xf>
    <xf numFmtId="49" fontId="0" fillId="0" borderId="0" xfId="0" applyNumberFormat="1" applyBorder="1" applyAlignment="1">
      <alignment vertical="top"/>
    </xf>
    <xf numFmtId="0" fontId="4" fillId="0" borderId="0" xfId="1"/>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4" fillId="0" borderId="2" xfId="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01"/>
  <sheetViews>
    <sheetView tabSelected="1" topLeftCell="L1" zoomScaleNormal="100" workbookViewId="0">
      <selection activeCell="L10" sqref="L10"/>
    </sheetView>
  </sheetViews>
  <sheetFormatPr defaultRowHeight="12.75"/>
  <cols>
    <col min="1" max="1" width="14.85546875" style="5" customWidth="1"/>
    <col min="2" max="2" width="27.7109375" style="5" customWidth="1"/>
    <col min="3" max="3" width="8.140625" style="6" customWidth="1"/>
    <col min="4" max="4" width="43.7109375" style="7" customWidth="1"/>
    <col min="5" max="5" width="6.7109375" style="5" customWidth="1"/>
    <col min="6" max="6" width="9.28515625" style="8" customWidth="1"/>
    <col min="7" max="7" width="7.28515625" style="9" customWidth="1"/>
    <col min="8" max="8" width="7.140625" style="10" customWidth="1"/>
    <col min="9" max="9" width="14.85546875" style="10" customWidth="1"/>
    <col min="10" max="10" width="12.85546875" style="5" customWidth="1"/>
    <col min="11" max="11" width="35.85546875" style="5" bestFit="1" customWidth="1"/>
    <col min="12" max="12" width="255.710937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22" t="s">
        <v>77</v>
      </c>
    </row>
    <row r="2" spans="1:12" ht="15">
      <c r="E2" s="5" t="s">
        <v>75</v>
      </c>
      <c r="F2" s="13" t="s">
        <v>280</v>
      </c>
      <c r="L2" s="22" t="s">
        <v>78</v>
      </c>
    </row>
    <row r="3" spans="1:12">
      <c r="L3" s="23" t="s">
        <v>296</v>
      </c>
    </row>
    <row r="4" spans="1:12" ht="25.5">
      <c r="A4" s="26" t="s">
        <v>42</v>
      </c>
      <c r="B4" s="26"/>
      <c r="C4" s="27" t="s">
        <v>43</v>
      </c>
      <c r="D4" s="28" t="s">
        <v>44</v>
      </c>
      <c r="E4" s="26" t="s">
        <v>45</v>
      </c>
      <c r="F4" s="29" t="s">
        <v>46</v>
      </c>
      <c r="G4" s="25" t="s">
        <v>279</v>
      </c>
      <c r="H4" s="25" t="s">
        <v>47</v>
      </c>
      <c r="I4" s="30" t="s">
        <v>57</v>
      </c>
      <c r="J4" s="30" t="s">
        <v>48</v>
      </c>
      <c r="K4" s="26" t="s">
        <v>49</v>
      </c>
      <c r="L4" s="23" t="s">
        <v>79</v>
      </c>
    </row>
    <row r="5" spans="1:12" s="11" customFormat="1" ht="45">
      <c r="A5" s="12" t="s">
        <v>93</v>
      </c>
      <c r="B5" s="12" t="s">
        <v>53</v>
      </c>
      <c r="C5" s="31" t="s">
        <v>50</v>
      </c>
      <c r="D5" s="13" t="s">
        <v>58</v>
      </c>
      <c r="E5" s="12" t="s">
        <v>51</v>
      </c>
      <c r="F5" s="32" t="s">
        <v>52</v>
      </c>
      <c r="G5" s="24" t="s">
        <v>278</v>
      </c>
      <c r="H5" s="24"/>
      <c r="I5" s="12" t="s">
        <v>93</v>
      </c>
      <c r="J5" s="33"/>
      <c r="K5" s="12"/>
      <c r="L5" s="23" t="s">
        <v>293</v>
      </c>
    </row>
    <row r="6" spans="1:12" ht="30">
      <c r="A6" s="12" t="s">
        <v>93</v>
      </c>
      <c r="B6" s="12" t="s">
        <v>59</v>
      </c>
      <c r="C6" s="34" t="str">
        <f>DEC2HEX(0)</f>
        <v>0</v>
      </c>
      <c r="D6" s="13" t="s">
        <v>60</v>
      </c>
      <c r="E6" s="35" t="s">
        <v>54</v>
      </c>
      <c r="F6" s="36" t="s">
        <v>61</v>
      </c>
      <c r="G6" s="24" t="s">
        <v>278</v>
      </c>
      <c r="H6" s="37" t="s">
        <v>56</v>
      </c>
      <c r="I6" s="12" t="s">
        <v>93</v>
      </c>
      <c r="J6" s="38" t="s">
        <v>94</v>
      </c>
      <c r="K6" s="35"/>
      <c r="L6" s="23" t="s">
        <v>297</v>
      </c>
    </row>
    <row r="7" spans="1:12" ht="15">
      <c r="A7" s="12" t="s">
        <v>93</v>
      </c>
      <c r="B7" s="12" t="s">
        <v>64</v>
      </c>
      <c r="C7" s="34" t="str">
        <f>DEC2HEX(HEX2DEC(C6)+4)</f>
        <v>4</v>
      </c>
      <c r="D7" s="13" t="s">
        <v>65</v>
      </c>
      <c r="E7" s="35" t="s">
        <v>54</v>
      </c>
      <c r="F7" s="36" t="s">
        <v>61</v>
      </c>
      <c r="G7" s="24" t="s">
        <v>278</v>
      </c>
      <c r="H7" s="37" t="s">
        <v>56</v>
      </c>
      <c r="I7" s="12" t="s">
        <v>93</v>
      </c>
      <c r="J7" s="38" t="s">
        <v>63</v>
      </c>
      <c r="K7" s="35"/>
      <c r="L7" s="23" t="s">
        <v>298</v>
      </c>
    </row>
    <row r="8" spans="1:12" ht="15">
      <c r="A8" s="12" t="s">
        <v>93</v>
      </c>
      <c r="B8" s="12" t="s">
        <v>282</v>
      </c>
      <c r="C8" s="34" t="str">
        <f t="shared" ref="C8" si="0">DEC2HEX(HEX2DEC(C7)+4)</f>
        <v>8</v>
      </c>
      <c r="D8" s="13" t="s">
        <v>283</v>
      </c>
      <c r="E8" s="35" t="s">
        <v>54</v>
      </c>
      <c r="F8" s="36" t="s">
        <v>284</v>
      </c>
      <c r="G8" s="24" t="s">
        <v>278</v>
      </c>
      <c r="H8" s="37" t="s">
        <v>285</v>
      </c>
      <c r="I8" s="12" t="s">
        <v>281</v>
      </c>
      <c r="J8" s="38" t="s">
        <v>286</v>
      </c>
      <c r="K8" s="35"/>
      <c r="L8" s="23" t="s">
        <v>80</v>
      </c>
    </row>
    <row r="9" spans="1:12" s="11" customFormat="1" ht="15">
      <c r="A9" s="39"/>
      <c r="B9" s="39" t="s">
        <v>294</v>
      </c>
      <c r="C9" s="40"/>
      <c r="D9" s="41" t="s">
        <v>287</v>
      </c>
      <c r="E9" s="39" t="s">
        <v>55</v>
      </c>
      <c r="F9" s="42" t="s">
        <v>52</v>
      </c>
      <c r="G9" s="39"/>
      <c r="H9" s="43" t="s">
        <v>285</v>
      </c>
      <c r="I9" s="44" t="s">
        <v>288</v>
      </c>
      <c r="J9" s="45" t="s">
        <v>86</v>
      </c>
      <c r="K9" s="39"/>
    </row>
    <row r="10" spans="1:12" s="11" customFormat="1" ht="30">
      <c r="A10" s="39"/>
      <c r="B10" s="39" t="s">
        <v>295</v>
      </c>
      <c r="C10" s="40"/>
      <c r="D10" s="41" t="s">
        <v>289</v>
      </c>
      <c r="E10" s="39" t="s">
        <v>55</v>
      </c>
      <c r="F10" s="42" t="s">
        <v>84</v>
      </c>
      <c r="G10" s="39"/>
      <c r="H10" s="43" t="s">
        <v>285</v>
      </c>
      <c r="I10" s="44" t="s">
        <v>288</v>
      </c>
      <c r="J10" s="45" t="s">
        <v>86</v>
      </c>
      <c r="K10" s="39"/>
    </row>
    <row r="11" spans="1:12" s="11" customFormat="1" ht="15">
      <c r="A11" s="39"/>
      <c r="B11" s="39" t="s">
        <v>290</v>
      </c>
      <c r="C11" s="40"/>
      <c r="D11" s="41" t="s">
        <v>291</v>
      </c>
      <c r="E11" s="39" t="s">
        <v>55</v>
      </c>
      <c r="F11" s="42" t="s">
        <v>87</v>
      </c>
      <c r="G11" s="39"/>
      <c r="H11" s="43" t="s">
        <v>285</v>
      </c>
      <c r="I11" s="44" t="s">
        <v>288</v>
      </c>
      <c r="J11" s="45" t="s">
        <v>86</v>
      </c>
      <c r="K11" s="39"/>
    </row>
    <row r="12" spans="1:12" s="11" customFormat="1" ht="15">
      <c r="A12" s="39"/>
      <c r="B12" s="39" t="s">
        <v>290</v>
      </c>
      <c r="C12" s="40"/>
      <c r="D12" s="41" t="s">
        <v>292</v>
      </c>
      <c r="E12" s="39" t="s">
        <v>55</v>
      </c>
      <c r="F12" s="42" t="s">
        <v>88</v>
      </c>
      <c r="G12" s="39"/>
      <c r="H12" s="43" t="s">
        <v>285</v>
      </c>
      <c r="I12" s="44" t="s">
        <v>288</v>
      </c>
      <c r="J12" s="45" t="s">
        <v>86</v>
      </c>
      <c r="K12" s="39"/>
    </row>
    <row r="13" spans="1:12" ht="30">
      <c r="A13" s="12" t="s">
        <v>93</v>
      </c>
      <c r="B13" s="12" t="s">
        <v>66</v>
      </c>
      <c r="C13" s="34" t="str">
        <f>DEC2HEX(HEX2DEC(C8)+4)</f>
        <v>C</v>
      </c>
      <c r="D13" s="13" t="s">
        <v>67</v>
      </c>
      <c r="E13" s="35" t="s">
        <v>54</v>
      </c>
      <c r="F13" s="36" t="s">
        <v>61</v>
      </c>
      <c r="G13" s="24" t="s">
        <v>278</v>
      </c>
      <c r="H13" s="37" t="s">
        <v>68</v>
      </c>
      <c r="I13" s="12" t="s">
        <v>93</v>
      </c>
      <c r="J13" s="38" t="s">
        <v>62</v>
      </c>
      <c r="K13" s="35" t="s">
        <v>69</v>
      </c>
      <c r="L13" s="23"/>
    </row>
    <row r="14" spans="1:12" ht="45">
      <c r="A14" s="12" t="s">
        <v>93</v>
      </c>
      <c r="B14" s="12" t="s">
        <v>74</v>
      </c>
      <c r="C14" s="34" t="str">
        <f t="shared" ref="C14:C15" si="1">DEC2HEX(HEX2DEC(C13)+4)</f>
        <v>10</v>
      </c>
      <c r="D14" s="13" t="s">
        <v>76</v>
      </c>
      <c r="E14" s="35" t="s">
        <v>54</v>
      </c>
      <c r="F14" s="36" t="s">
        <v>61</v>
      </c>
      <c r="G14" s="24" t="s">
        <v>278</v>
      </c>
      <c r="H14" s="37" t="s">
        <v>68</v>
      </c>
      <c r="I14" s="12" t="s">
        <v>93</v>
      </c>
      <c r="J14" s="38" t="s">
        <v>62</v>
      </c>
      <c r="K14" s="35"/>
    </row>
    <row r="15" spans="1:12" s="11" customFormat="1" ht="15">
      <c r="A15" s="12" t="s">
        <v>93</v>
      </c>
      <c r="B15" s="12" t="s">
        <v>95</v>
      </c>
      <c r="C15" s="34" t="str">
        <f t="shared" si="1"/>
        <v>14</v>
      </c>
      <c r="D15" s="13" t="s">
        <v>96</v>
      </c>
      <c r="E15" s="12" t="s">
        <v>54</v>
      </c>
      <c r="F15" s="32" t="s">
        <v>61</v>
      </c>
      <c r="G15" s="24" t="s">
        <v>278</v>
      </c>
      <c r="H15" s="24" t="s">
        <v>70</v>
      </c>
      <c r="I15" s="12" t="s">
        <v>93</v>
      </c>
      <c r="J15" s="33" t="s">
        <v>62</v>
      </c>
      <c r="K15" s="12"/>
    </row>
    <row r="16" spans="1:12" s="11" customFormat="1" ht="25.5">
      <c r="A16" s="39"/>
      <c r="B16" s="39" t="s">
        <v>97</v>
      </c>
      <c r="C16" s="40"/>
      <c r="D16" s="41" t="s">
        <v>99</v>
      </c>
      <c r="E16" s="39" t="s">
        <v>55</v>
      </c>
      <c r="F16" s="42" t="s">
        <v>72</v>
      </c>
      <c r="G16" s="39"/>
      <c r="H16" s="43" t="s">
        <v>70</v>
      </c>
      <c r="I16" s="44" t="s">
        <v>93</v>
      </c>
      <c r="J16" s="45" t="s">
        <v>71</v>
      </c>
      <c r="K16" s="39"/>
    </row>
    <row r="17" spans="1:11" s="11" customFormat="1" ht="25.5">
      <c r="A17" s="39"/>
      <c r="B17" s="39" t="s">
        <v>98</v>
      </c>
      <c r="C17" s="40"/>
      <c r="D17" s="41" t="s">
        <v>73</v>
      </c>
      <c r="E17" s="39" t="s">
        <v>55</v>
      </c>
      <c r="F17" s="39">
        <v>31</v>
      </c>
      <c r="G17" s="39"/>
      <c r="H17" s="43" t="s">
        <v>70</v>
      </c>
      <c r="I17" s="44" t="s">
        <v>93</v>
      </c>
      <c r="J17" s="45" t="s">
        <v>86</v>
      </c>
      <c r="K17" s="39"/>
    </row>
    <row r="18" spans="1:11" s="11" customFormat="1" ht="15">
      <c r="A18" s="12" t="s">
        <v>93</v>
      </c>
      <c r="B18" s="12" t="s">
        <v>100</v>
      </c>
      <c r="C18" s="34" t="str">
        <f>DEC2HEX(HEX2DEC(C15)+4)</f>
        <v>18</v>
      </c>
      <c r="D18" s="13" t="s">
        <v>101</v>
      </c>
      <c r="E18" s="12" t="s">
        <v>54</v>
      </c>
      <c r="F18" s="32" t="s">
        <v>61</v>
      </c>
      <c r="G18" s="24" t="s">
        <v>278</v>
      </c>
      <c r="H18" s="24" t="s">
        <v>70</v>
      </c>
      <c r="I18" s="12" t="s">
        <v>93</v>
      </c>
      <c r="J18" s="33" t="s">
        <v>62</v>
      </c>
      <c r="K18" s="12"/>
    </row>
    <row r="19" spans="1:11" s="11" customFormat="1" ht="25.5">
      <c r="A19" s="39"/>
      <c r="B19" s="39" t="s">
        <v>97</v>
      </c>
      <c r="C19" s="40"/>
      <c r="D19" s="41" t="s">
        <v>102</v>
      </c>
      <c r="E19" s="39" t="s">
        <v>55</v>
      </c>
      <c r="F19" s="42" t="s">
        <v>72</v>
      </c>
      <c r="G19" s="39"/>
      <c r="H19" s="43" t="s">
        <v>70</v>
      </c>
      <c r="I19" s="44" t="s">
        <v>93</v>
      </c>
      <c r="J19" s="45" t="s">
        <v>71</v>
      </c>
      <c r="K19" s="39"/>
    </row>
    <row r="20" spans="1:11" s="11" customFormat="1" ht="25.5">
      <c r="A20" s="39"/>
      <c r="B20" s="39" t="s">
        <v>98</v>
      </c>
      <c r="C20" s="40"/>
      <c r="D20" s="41" t="s">
        <v>73</v>
      </c>
      <c r="E20" s="39" t="s">
        <v>55</v>
      </c>
      <c r="F20" s="39">
        <v>31</v>
      </c>
      <c r="G20" s="39"/>
      <c r="H20" s="43" t="s">
        <v>70</v>
      </c>
      <c r="I20" s="44" t="s">
        <v>93</v>
      </c>
      <c r="J20" s="45" t="s">
        <v>86</v>
      </c>
      <c r="K20" s="39"/>
    </row>
    <row r="21" spans="1:11" s="11" customFormat="1" ht="15">
      <c r="A21" s="12" t="s">
        <v>93</v>
      </c>
      <c r="B21" s="12" t="s">
        <v>103</v>
      </c>
      <c r="C21" s="34" t="str">
        <f>DEC2HEX(HEX2DEC(C18)+4)</f>
        <v>1C</v>
      </c>
      <c r="D21" s="13" t="s">
        <v>104</v>
      </c>
      <c r="E21" s="12" t="s">
        <v>54</v>
      </c>
      <c r="F21" s="32" t="s">
        <v>61</v>
      </c>
      <c r="G21" s="24" t="s">
        <v>278</v>
      </c>
      <c r="H21" s="24" t="s">
        <v>70</v>
      </c>
      <c r="I21" s="12" t="s">
        <v>93</v>
      </c>
      <c r="J21" s="33" t="s">
        <v>62</v>
      </c>
      <c r="K21" s="12"/>
    </row>
    <row r="22" spans="1:11" s="11" customFormat="1" ht="25.5">
      <c r="A22" s="39"/>
      <c r="B22" s="39" t="s">
        <v>97</v>
      </c>
      <c r="C22" s="40"/>
      <c r="D22" s="41" t="s">
        <v>105</v>
      </c>
      <c r="E22" s="39" t="s">
        <v>55</v>
      </c>
      <c r="F22" s="42" t="s">
        <v>72</v>
      </c>
      <c r="G22" s="39"/>
      <c r="H22" s="43" t="s">
        <v>70</v>
      </c>
      <c r="I22" s="44" t="s">
        <v>93</v>
      </c>
      <c r="J22" s="45" t="s">
        <v>71</v>
      </c>
      <c r="K22" s="39"/>
    </row>
    <row r="23" spans="1:11" s="11" customFormat="1" ht="25.5">
      <c r="A23" s="39"/>
      <c r="B23" s="39" t="s">
        <v>98</v>
      </c>
      <c r="C23" s="40"/>
      <c r="D23" s="41" t="s">
        <v>73</v>
      </c>
      <c r="E23" s="39" t="s">
        <v>55</v>
      </c>
      <c r="F23" s="39">
        <v>31</v>
      </c>
      <c r="G23" s="39"/>
      <c r="H23" s="43" t="s">
        <v>70</v>
      </c>
      <c r="I23" s="44" t="s">
        <v>93</v>
      </c>
      <c r="J23" s="45" t="s">
        <v>86</v>
      </c>
      <c r="K23" s="39"/>
    </row>
    <row r="24" spans="1:11" s="11" customFormat="1" ht="15">
      <c r="A24" s="12" t="s">
        <v>93</v>
      </c>
      <c r="B24" s="12" t="s">
        <v>106</v>
      </c>
      <c r="C24" s="34" t="str">
        <f>DEC2HEX(HEX2DEC(C21)+4)</f>
        <v>20</v>
      </c>
      <c r="D24" s="13" t="s">
        <v>107</v>
      </c>
      <c r="E24" s="12" t="s">
        <v>54</v>
      </c>
      <c r="F24" s="32" t="s">
        <v>61</v>
      </c>
      <c r="G24" s="24" t="s">
        <v>278</v>
      </c>
      <c r="H24" s="24" t="s">
        <v>70</v>
      </c>
      <c r="I24" s="12" t="s">
        <v>93</v>
      </c>
      <c r="J24" s="33" t="s">
        <v>62</v>
      </c>
      <c r="K24" s="12"/>
    </row>
    <row r="25" spans="1:11" s="11" customFormat="1" ht="25.5">
      <c r="A25" s="39"/>
      <c r="B25" s="39" t="s">
        <v>97</v>
      </c>
      <c r="C25" s="40"/>
      <c r="D25" s="41" t="s">
        <v>108</v>
      </c>
      <c r="E25" s="39" t="s">
        <v>55</v>
      </c>
      <c r="F25" s="42" t="s">
        <v>72</v>
      </c>
      <c r="G25" s="39"/>
      <c r="H25" s="43" t="s">
        <v>70</v>
      </c>
      <c r="I25" s="44" t="s">
        <v>93</v>
      </c>
      <c r="J25" s="45" t="s">
        <v>71</v>
      </c>
      <c r="K25" s="39"/>
    </row>
    <row r="26" spans="1:11" s="11" customFormat="1" ht="25.5">
      <c r="A26" s="39"/>
      <c r="B26" s="39" t="s">
        <v>98</v>
      </c>
      <c r="C26" s="40"/>
      <c r="D26" s="41" t="s">
        <v>73</v>
      </c>
      <c r="E26" s="39" t="s">
        <v>55</v>
      </c>
      <c r="F26" s="39">
        <v>31</v>
      </c>
      <c r="G26" s="39"/>
      <c r="H26" s="43" t="s">
        <v>70</v>
      </c>
      <c r="I26" s="44" t="s">
        <v>93</v>
      </c>
      <c r="J26" s="45" t="s">
        <v>86</v>
      </c>
      <c r="K26" s="39"/>
    </row>
    <row r="27" spans="1:11" s="11" customFormat="1" ht="15">
      <c r="A27" s="12" t="s">
        <v>93</v>
      </c>
      <c r="B27" s="12" t="s">
        <v>109</v>
      </c>
      <c r="C27" s="34" t="str">
        <f>DEC2HEX(HEX2DEC(C24)+4)</f>
        <v>24</v>
      </c>
      <c r="D27" s="13" t="s">
        <v>110</v>
      </c>
      <c r="E27" s="12" t="s">
        <v>54</v>
      </c>
      <c r="F27" s="32" t="s">
        <v>61</v>
      </c>
      <c r="G27" s="24" t="s">
        <v>278</v>
      </c>
      <c r="H27" s="24" t="s">
        <v>70</v>
      </c>
      <c r="I27" s="12" t="s">
        <v>93</v>
      </c>
      <c r="J27" s="33" t="s">
        <v>62</v>
      </c>
      <c r="K27" s="12"/>
    </row>
    <row r="28" spans="1:11" s="11" customFormat="1" ht="30">
      <c r="A28" s="39"/>
      <c r="B28" s="39" t="s">
        <v>97</v>
      </c>
      <c r="C28" s="40"/>
      <c r="D28" s="41" t="s">
        <v>111</v>
      </c>
      <c r="E28" s="39" t="s">
        <v>55</v>
      </c>
      <c r="F28" s="42" t="s">
        <v>72</v>
      </c>
      <c r="G28" s="39"/>
      <c r="H28" s="43" t="s">
        <v>70</v>
      </c>
      <c r="I28" s="44" t="s">
        <v>93</v>
      </c>
      <c r="J28" s="45" t="s">
        <v>71</v>
      </c>
      <c r="K28" s="39"/>
    </row>
    <row r="29" spans="1:11" s="11" customFormat="1" ht="25.5">
      <c r="A29" s="39"/>
      <c r="B29" s="39" t="s">
        <v>98</v>
      </c>
      <c r="C29" s="40"/>
      <c r="D29" s="41" t="s">
        <v>73</v>
      </c>
      <c r="E29" s="39" t="s">
        <v>55</v>
      </c>
      <c r="F29" s="39">
        <v>31</v>
      </c>
      <c r="G29" s="39"/>
      <c r="H29" s="43" t="s">
        <v>70</v>
      </c>
      <c r="I29" s="44" t="s">
        <v>93</v>
      </c>
      <c r="J29" s="45" t="s">
        <v>86</v>
      </c>
      <c r="K29" s="39"/>
    </row>
    <row r="30" spans="1:11" s="11" customFormat="1" ht="15">
      <c r="A30" s="12" t="s">
        <v>93</v>
      </c>
      <c r="B30" s="12" t="s">
        <v>112</v>
      </c>
      <c r="C30" s="34" t="str">
        <f>DEC2HEX(HEX2DEC(C27)+4)</f>
        <v>28</v>
      </c>
      <c r="D30" s="13" t="s">
        <v>113</v>
      </c>
      <c r="E30" s="12" t="s">
        <v>54</v>
      </c>
      <c r="F30" s="32" t="s">
        <v>61</v>
      </c>
      <c r="G30" s="24" t="s">
        <v>278</v>
      </c>
      <c r="H30" s="24" t="s">
        <v>70</v>
      </c>
      <c r="I30" s="12" t="s">
        <v>93</v>
      </c>
      <c r="J30" s="33" t="s">
        <v>62</v>
      </c>
      <c r="K30" s="12"/>
    </row>
    <row r="31" spans="1:11" s="11" customFormat="1" ht="30">
      <c r="A31" s="39"/>
      <c r="B31" s="39" t="s">
        <v>97</v>
      </c>
      <c r="C31" s="40"/>
      <c r="D31" s="41" t="s">
        <v>114</v>
      </c>
      <c r="E31" s="39" t="s">
        <v>55</v>
      </c>
      <c r="F31" s="42" t="s">
        <v>72</v>
      </c>
      <c r="G31" s="39"/>
      <c r="H31" s="43" t="s">
        <v>70</v>
      </c>
      <c r="I31" s="44" t="s">
        <v>93</v>
      </c>
      <c r="J31" s="45" t="s">
        <v>71</v>
      </c>
      <c r="K31" s="39"/>
    </row>
    <row r="32" spans="1:11" s="11" customFormat="1" ht="25.5">
      <c r="A32" s="39"/>
      <c r="B32" s="39" t="s">
        <v>98</v>
      </c>
      <c r="C32" s="40"/>
      <c r="D32" s="41" t="s">
        <v>73</v>
      </c>
      <c r="E32" s="39" t="s">
        <v>55</v>
      </c>
      <c r="F32" s="39">
        <v>31</v>
      </c>
      <c r="G32" s="39"/>
      <c r="H32" s="43" t="s">
        <v>70</v>
      </c>
      <c r="I32" s="44" t="s">
        <v>93</v>
      </c>
      <c r="J32" s="45" t="s">
        <v>86</v>
      </c>
      <c r="K32" s="39"/>
    </row>
    <row r="33" spans="1:11" s="11" customFormat="1" ht="15">
      <c r="A33" s="12" t="s">
        <v>93</v>
      </c>
      <c r="B33" s="12" t="s">
        <v>115</v>
      </c>
      <c r="C33" s="34" t="str">
        <f>DEC2HEX(HEX2DEC(C30)+4)</f>
        <v>2C</v>
      </c>
      <c r="D33" s="13" t="s">
        <v>116</v>
      </c>
      <c r="E33" s="12" t="s">
        <v>54</v>
      </c>
      <c r="F33" s="32" t="s">
        <v>61</v>
      </c>
      <c r="G33" s="24" t="s">
        <v>278</v>
      </c>
      <c r="H33" s="24" t="s">
        <v>56</v>
      </c>
      <c r="I33" s="12" t="s">
        <v>93</v>
      </c>
      <c r="J33" s="33" t="s">
        <v>62</v>
      </c>
      <c r="K33" s="12"/>
    </row>
    <row r="34" spans="1:11" s="11" customFormat="1" ht="25.5">
      <c r="A34" s="39"/>
      <c r="B34" s="39" t="s">
        <v>117</v>
      </c>
      <c r="C34" s="40"/>
      <c r="D34" s="41" t="s">
        <v>118</v>
      </c>
      <c r="E34" s="39" t="s">
        <v>55</v>
      </c>
      <c r="F34" s="42" t="s">
        <v>119</v>
      </c>
      <c r="G34" s="39"/>
      <c r="H34" s="43" t="s">
        <v>56</v>
      </c>
      <c r="I34" s="44" t="s">
        <v>93</v>
      </c>
      <c r="J34" s="45" t="s">
        <v>123</v>
      </c>
      <c r="K34" s="39"/>
    </row>
    <row r="35" spans="1:11" s="11" customFormat="1" ht="25.5">
      <c r="A35" s="39"/>
      <c r="B35" s="39" t="s">
        <v>120</v>
      </c>
      <c r="C35" s="40"/>
      <c r="D35" s="41" t="s">
        <v>121</v>
      </c>
      <c r="E35" s="39" t="s">
        <v>55</v>
      </c>
      <c r="F35" s="42" t="s">
        <v>122</v>
      </c>
      <c r="G35" s="39"/>
      <c r="H35" s="43" t="s">
        <v>56</v>
      </c>
      <c r="I35" s="44" t="s">
        <v>93</v>
      </c>
      <c r="J35" s="45" t="s">
        <v>92</v>
      </c>
      <c r="K35" s="39"/>
    </row>
    <row r="36" spans="1:11" s="11" customFormat="1" ht="15">
      <c r="A36" s="12" t="s">
        <v>93</v>
      </c>
      <c r="B36" s="12" t="s">
        <v>124</v>
      </c>
      <c r="C36" s="34" t="str">
        <f>DEC2HEX(HEX2DEC(C33)+4)</f>
        <v>30</v>
      </c>
      <c r="D36" s="13" t="s">
        <v>125</v>
      </c>
      <c r="E36" s="12" t="s">
        <v>54</v>
      </c>
      <c r="F36" s="32" t="s">
        <v>61</v>
      </c>
      <c r="G36" s="24" t="s">
        <v>278</v>
      </c>
      <c r="H36" s="24" t="s">
        <v>56</v>
      </c>
      <c r="I36" s="12" t="s">
        <v>93</v>
      </c>
      <c r="J36" s="33" t="s">
        <v>62</v>
      </c>
      <c r="K36" s="12"/>
    </row>
    <row r="37" spans="1:11" s="11" customFormat="1" ht="25.5">
      <c r="A37" s="39"/>
      <c r="B37" s="39" t="s">
        <v>126</v>
      </c>
      <c r="C37" s="40"/>
      <c r="D37" s="41" t="s">
        <v>128</v>
      </c>
      <c r="E37" s="39" t="s">
        <v>55</v>
      </c>
      <c r="F37" s="42" t="s">
        <v>52</v>
      </c>
      <c r="G37" s="39"/>
      <c r="H37" s="43" t="s">
        <v>56</v>
      </c>
      <c r="I37" s="44" t="s">
        <v>93</v>
      </c>
      <c r="J37" s="45" t="s">
        <v>86</v>
      </c>
      <c r="K37" s="39"/>
    </row>
    <row r="38" spans="1:11" s="11" customFormat="1" ht="25.5">
      <c r="A38" s="39"/>
      <c r="B38" s="39" t="s">
        <v>127</v>
      </c>
      <c r="C38" s="40"/>
      <c r="D38" s="41" t="s">
        <v>129</v>
      </c>
      <c r="E38" s="39" t="s">
        <v>55</v>
      </c>
      <c r="F38" s="42" t="s">
        <v>130</v>
      </c>
      <c r="G38" s="39"/>
      <c r="H38" s="43" t="s">
        <v>56</v>
      </c>
      <c r="I38" s="44" t="s">
        <v>93</v>
      </c>
      <c r="J38" s="45" t="s">
        <v>82</v>
      </c>
      <c r="K38" s="39"/>
    </row>
    <row r="39" spans="1:11" s="11" customFormat="1" ht="25.5">
      <c r="A39" s="39"/>
      <c r="B39" s="39" t="s">
        <v>275</v>
      </c>
      <c r="C39" s="40"/>
      <c r="D39" s="41" t="s">
        <v>276</v>
      </c>
      <c r="E39" s="39" t="s">
        <v>55</v>
      </c>
      <c r="F39" s="42" t="s">
        <v>277</v>
      </c>
      <c r="G39" s="39"/>
      <c r="H39" s="43" t="s">
        <v>56</v>
      </c>
      <c r="I39" s="44" t="s">
        <v>93</v>
      </c>
      <c r="J39" s="45" t="s">
        <v>123</v>
      </c>
      <c r="K39" s="39"/>
    </row>
    <row r="40" spans="1:11" s="11" customFormat="1" ht="15">
      <c r="A40" s="12" t="s">
        <v>93</v>
      </c>
      <c r="B40" s="12" t="s">
        <v>131</v>
      </c>
      <c r="C40" s="34" t="str">
        <f>DEC2HEX(HEX2DEC(C36)+4)</f>
        <v>34</v>
      </c>
      <c r="D40" s="13" t="s">
        <v>132</v>
      </c>
      <c r="E40" s="12" t="s">
        <v>54</v>
      </c>
      <c r="F40" s="32" t="s">
        <v>61</v>
      </c>
      <c r="G40" s="24" t="s">
        <v>278</v>
      </c>
      <c r="H40" s="24" t="s">
        <v>56</v>
      </c>
      <c r="I40" s="12" t="s">
        <v>93</v>
      </c>
      <c r="J40" s="33" t="s">
        <v>62</v>
      </c>
      <c r="K40" s="12"/>
    </row>
    <row r="41" spans="1:11" s="11" customFormat="1" ht="25.5">
      <c r="A41" s="39"/>
      <c r="B41" s="39" t="s">
        <v>133</v>
      </c>
      <c r="C41" s="40"/>
      <c r="D41" s="41" t="s">
        <v>134</v>
      </c>
      <c r="E41" s="39" t="s">
        <v>55</v>
      </c>
      <c r="F41" s="42" t="s">
        <v>135</v>
      </c>
      <c r="G41" s="39"/>
      <c r="H41" s="43" t="s">
        <v>56</v>
      </c>
      <c r="I41" s="44" t="s">
        <v>93</v>
      </c>
      <c r="J41" s="45" t="s">
        <v>142</v>
      </c>
      <c r="K41" s="39"/>
    </row>
    <row r="42" spans="1:11" s="11" customFormat="1" ht="25.5">
      <c r="A42" s="39"/>
      <c r="B42" s="39" t="s">
        <v>136</v>
      </c>
      <c r="C42" s="40"/>
      <c r="D42" s="41" t="s">
        <v>137</v>
      </c>
      <c r="E42" s="39" t="s">
        <v>55</v>
      </c>
      <c r="F42" s="42" t="s">
        <v>138</v>
      </c>
      <c r="G42" s="39"/>
      <c r="H42" s="43" t="s">
        <v>56</v>
      </c>
      <c r="I42" s="44" t="s">
        <v>93</v>
      </c>
      <c r="J42" s="45" t="s">
        <v>142</v>
      </c>
      <c r="K42" s="39"/>
    </row>
    <row r="43" spans="1:11" ht="25.5">
      <c r="A43" s="39"/>
      <c r="B43" s="39" t="s">
        <v>139</v>
      </c>
      <c r="C43" s="39"/>
      <c r="D43" s="39" t="s">
        <v>140</v>
      </c>
      <c r="E43" s="39" t="s">
        <v>55</v>
      </c>
      <c r="F43" s="42" t="s">
        <v>141</v>
      </c>
      <c r="G43" s="46"/>
      <c r="H43" s="43" t="s">
        <v>56</v>
      </c>
      <c r="I43" s="44" t="s">
        <v>93</v>
      </c>
      <c r="J43" s="45" t="s">
        <v>142</v>
      </c>
      <c r="K43" s="39"/>
    </row>
    <row r="44" spans="1:11" s="11" customFormat="1" ht="25.5">
      <c r="A44" s="39"/>
      <c r="B44" s="39" t="s">
        <v>143</v>
      </c>
      <c r="C44" s="40"/>
      <c r="D44" s="41" t="s">
        <v>144</v>
      </c>
      <c r="E44" s="39" t="s">
        <v>55</v>
      </c>
      <c r="F44" s="42" t="s">
        <v>145</v>
      </c>
      <c r="G44" s="39"/>
      <c r="H44" s="43" t="s">
        <v>56</v>
      </c>
      <c r="I44" s="44" t="s">
        <v>93</v>
      </c>
      <c r="J44" s="45" t="s">
        <v>91</v>
      </c>
      <c r="K44" s="39"/>
    </row>
    <row r="45" spans="1:11" s="11" customFormat="1" ht="25.5">
      <c r="A45" s="39"/>
      <c r="B45" s="39" t="s">
        <v>146</v>
      </c>
      <c r="C45" s="40"/>
      <c r="D45" s="41" t="s">
        <v>147</v>
      </c>
      <c r="E45" s="39" t="s">
        <v>55</v>
      </c>
      <c r="F45" s="42" t="s">
        <v>148</v>
      </c>
      <c r="G45" s="39"/>
      <c r="H45" s="43" t="s">
        <v>56</v>
      </c>
      <c r="I45" s="44" t="s">
        <v>93</v>
      </c>
      <c r="J45" s="45" t="s">
        <v>92</v>
      </c>
      <c r="K45" s="39"/>
    </row>
    <row r="46" spans="1:11" s="11" customFormat="1" ht="25.5">
      <c r="A46" s="39"/>
      <c r="B46" s="39" t="s">
        <v>158</v>
      </c>
      <c r="C46" s="39"/>
      <c r="D46" s="39" t="s">
        <v>159</v>
      </c>
      <c r="E46" s="39" t="s">
        <v>55</v>
      </c>
      <c r="F46" s="42" t="s">
        <v>160</v>
      </c>
      <c r="G46" s="39"/>
      <c r="H46" s="43" t="s">
        <v>56</v>
      </c>
      <c r="I46" s="44" t="s">
        <v>93</v>
      </c>
      <c r="J46" s="45" t="s">
        <v>82</v>
      </c>
      <c r="K46" s="39"/>
    </row>
    <row r="47" spans="1:11" s="11" customFormat="1" ht="15">
      <c r="A47" s="12" t="s">
        <v>93</v>
      </c>
      <c r="B47" s="12" t="s">
        <v>149</v>
      </c>
      <c r="C47" s="34" t="str">
        <f>DEC2HEX(HEX2DEC(C40)+4)</f>
        <v>38</v>
      </c>
      <c r="D47" s="13" t="s">
        <v>132</v>
      </c>
      <c r="E47" s="12" t="s">
        <v>54</v>
      </c>
      <c r="F47" s="32" t="s">
        <v>61</v>
      </c>
      <c r="G47" s="24" t="s">
        <v>278</v>
      </c>
      <c r="H47" s="24" t="s">
        <v>56</v>
      </c>
      <c r="I47" s="12" t="s">
        <v>93</v>
      </c>
      <c r="J47" s="33" t="s">
        <v>62</v>
      </c>
      <c r="K47" s="12"/>
    </row>
    <row r="48" spans="1:11" s="11" customFormat="1" ht="25.5">
      <c r="A48" s="39"/>
      <c r="B48" s="39" t="s">
        <v>150</v>
      </c>
      <c r="C48" s="40"/>
      <c r="D48" s="41" t="s">
        <v>151</v>
      </c>
      <c r="E48" s="39" t="s">
        <v>55</v>
      </c>
      <c r="F48" s="42" t="s">
        <v>152</v>
      </c>
      <c r="G48" s="39"/>
      <c r="H48" s="43" t="s">
        <v>56</v>
      </c>
      <c r="I48" s="44" t="s">
        <v>93</v>
      </c>
      <c r="J48" s="45" t="s">
        <v>153</v>
      </c>
      <c r="K48" s="39"/>
    </row>
    <row r="49" spans="1:11" s="11" customFormat="1" ht="25.5">
      <c r="A49" s="39"/>
      <c r="B49" s="39" t="s">
        <v>154</v>
      </c>
      <c r="C49" s="40"/>
      <c r="D49" s="41" t="s">
        <v>155</v>
      </c>
      <c r="E49" s="39" t="s">
        <v>55</v>
      </c>
      <c r="F49" s="42" t="s">
        <v>156</v>
      </c>
      <c r="G49" s="39"/>
      <c r="H49" s="43" t="s">
        <v>56</v>
      </c>
      <c r="I49" s="44" t="s">
        <v>93</v>
      </c>
      <c r="J49" s="45" t="s">
        <v>157</v>
      </c>
      <c r="K49" s="39"/>
    </row>
    <row r="50" spans="1:11" s="11" customFormat="1" ht="15">
      <c r="A50" s="12" t="s">
        <v>93</v>
      </c>
      <c r="B50" s="12" t="s">
        <v>161</v>
      </c>
      <c r="C50" s="34" t="str">
        <f>DEC2HEX(HEX2DEC(C47)+4)</f>
        <v>3C</v>
      </c>
      <c r="D50" s="13" t="s">
        <v>162</v>
      </c>
      <c r="E50" s="12" t="s">
        <v>54</v>
      </c>
      <c r="F50" s="32" t="s">
        <v>61</v>
      </c>
      <c r="G50" s="24" t="s">
        <v>278</v>
      </c>
      <c r="H50" s="24" t="s">
        <v>56</v>
      </c>
      <c r="I50" s="12" t="s">
        <v>93</v>
      </c>
      <c r="J50" s="33" t="s">
        <v>62</v>
      </c>
      <c r="K50" s="12"/>
    </row>
    <row r="51" spans="1:11" s="11" customFormat="1" ht="25.5">
      <c r="A51" s="39"/>
      <c r="B51" s="39" t="s">
        <v>163</v>
      </c>
      <c r="C51" s="40"/>
      <c r="D51" s="41" t="s">
        <v>164</v>
      </c>
      <c r="E51" s="39" t="s">
        <v>55</v>
      </c>
      <c r="F51" s="42" t="s">
        <v>52</v>
      </c>
      <c r="G51" s="39"/>
      <c r="H51" s="43" t="s">
        <v>56</v>
      </c>
      <c r="I51" s="44" t="s">
        <v>93</v>
      </c>
      <c r="J51" s="45" t="s">
        <v>86</v>
      </c>
      <c r="K51" s="39"/>
    </row>
    <row r="52" spans="1:11" s="11" customFormat="1" ht="25.5">
      <c r="A52" s="39"/>
      <c r="B52" s="39" t="s">
        <v>165</v>
      </c>
      <c r="C52" s="40"/>
      <c r="D52" s="41" t="s">
        <v>166</v>
      </c>
      <c r="E52" s="39" t="s">
        <v>55</v>
      </c>
      <c r="F52" s="42" t="s">
        <v>84</v>
      </c>
      <c r="G52" s="39"/>
      <c r="H52" s="43" t="s">
        <v>56</v>
      </c>
      <c r="I52" s="44" t="s">
        <v>93</v>
      </c>
      <c r="J52" s="45" t="s">
        <v>86</v>
      </c>
      <c r="K52" s="39"/>
    </row>
    <row r="53" spans="1:11" s="11" customFormat="1" ht="25.5">
      <c r="A53" s="39"/>
      <c r="B53" s="39" t="s">
        <v>167</v>
      </c>
      <c r="C53" s="40"/>
      <c r="D53" s="41" t="s">
        <v>168</v>
      </c>
      <c r="E53" s="39" t="s">
        <v>55</v>
      </c>
      <c r="F53" s="42" t="s">
        <v>87</v>
      </c>
      <c r="G53" s="39"/>
      <c r="H53" s="43" t="s">
        <v>56</v>
      </c>
      <c r="I53" s="44" t="s">
        <v>93</v>
      </c>
      <c r="J53" s="45" t="s">
        <v>86</v>
      </c>
      <c r="K53" s="39"/>
    </row>
    <row r="54" spans="1:11" s="11" customFormat="1" ht="15">
      <c r="A54" s="12" t="s">
        <v>93</v>
      </c>
      <c r="B54" s="12" t="s">
        <v>169</v>
      </c>
      <c r="C54" s="34" t="str">
        <f>DEC2HEX(HEX2DEC(C50)+4)</f>
        <v>40</v>
      </c>
      <c r="D54" s="13" t="s">
        <v>170</v>
      </c>
      <c r="E54" s="12" t="s">
        <v>54</v>
      </c>
      <c r="F54" s="32" t="s">
        <v>61</v>
      </c>
      <c r="G54" s="24" t="s">
        <v>278</v>
      </c>
      <c r="H54" s="24" t="s">
        <v>56</v>
      </c>
      <c r="I54" s="12" t="s">
        <v>93</v>
      </c>
      <c r="J54" s="33" t="s">
        <v>62</v>
      </c>
      <c r="K54" s="12"/>
    </row>
    <row r="55" spans="1:11" s="11" customFormat="1" ht="25.5">
      <c r="A55" s="39"/>
      <c r="B55" s="39" t="s">
        <v>171</v>
      </c>
      <c r="C55" s="40"/>
      <c r="D55" s="41" t="s">
        <v>172</v>
      </c>
      <c r="E55" s="39" t="s">
        <v>55</v>
      </c>
      <c r="F55" s="42" t="s">
        <v>173</v>
      </c>
      <c r="G55" s="39"/>
      <c r="H55" s="43" t="s">
        <v>56</v>
      </c>
      <c r="I55" s="44" t="s">
        <v>93</v>
      </c>
      <c r="J55" s="45" t="s">
        <v>92</v>
      </c>
      <c r="K55" s="39"/>
    </row>
    <row r="56" spans="1:11" s="11" customFormat="1" ht="25.5">
      <c r="A56" s="39"/>
      <c r="B56" s="39" t="s">
        <v>174</v>
      </c>
      <c r="C56" s="40"/>
      <c r="D56" s="41" t="s">
        <v>175</v>
      </c>
      <c r="E56" s="39" t="s">
        <v>55</v>
      </c>
      <c r="F56" s="42" t="s">
        <v>87</v>
      </c>
      <c r="G56" s="39"/>
      <c r="H56" s="43" t="s">
        <v>56</v>
      </c>
      <c r="I56" s="44" t="s">
        <v>93</v>
      </c>
      <c r="J56" s="45" t="s">
        <v>86</v>
      </c>
      <c r="K56" s="39"/>
    </row>
    <row r="57" spans="1:11" s="11" customFormat="1" ht="25.5">
      <c r="A57" s="39"/>
      <c r="B57" s="39" t="s">
        <v>176</v>
      </c>
      <c r="C57" s="40"/>
      <c r="D57" s="41" t="s">
        <v>177</v>
      </c>
      <c r="E57" s="39" t="s">
        <v>55</v>
      </c>
      <c r="F57" s="42" t="s">
        <v>178</v>
      </c>
      <c r="G57" s="39"/>
      <c r="H57" s="43" t="s">
        <v>56</v>
      </c>
      <c r="I57" s="44" t="s">
        <v>93</v>
      </c>
      <c r="J57" s="45" t="s">
        <v>82</v>
      </c>
      <c r="K57" s="39"/>
    </row>
    <row r="58" spans="1:11" s="15" customFormat="1" ht="25.5">
      <c r="A58" s="39"/>
      <c r="B58" s="39" t="s">
        <v>179</v>
      </c>
      <c r="C58" s="39"/>
      <c r="D58" s="41" t="s">
        <v>180</v>
      </c>
      <c r="E58" s="39" t="s">
        <v>55</v>
      </c>
      <c r="F58" s="42" t="s">
        <v>181</v>
      </c>
      <c r="G58" s="39"/>
      <c r="H58" s="43" t="s">
        <v>56</v>
      </c>
      <c r="I58" s="44" t="s">
        <v>93</v>
      </c>
      <c r="J58" s="45" t="s">
        <v>82</v>
      </c>
      <c r="K58" s="39"/>
    </row>
    <row r="59" spans="1:11" s="11" customFormat="1" ht="25.5">
      <c r="A59" s="39"/>
      <c r="B59" s="39" t="s">
        <v>182</v>
      </c>
      <c r="C59" s="40"/>
      <c r="D59" s="41" t="s">
        <v>183</v>
      </c>
      <c r="E59" s="39" t="s">
        <v>55</v>
      </c>
      <c r="F59" s="42" t="s">
        <v>184</v>
      </c>
      <c r="G59" s="39"/>
      <c r="H59" s="43" t="s">
        <v>56</v>
      </c>
      <c r="I59" s="44" t="s">
        <v>93</v>
      </c>
      <c r="J59" s="45" t="s">
        <v>86</v>
      </c>
      <c r="K59" s="39"/>
    </row>
    <row r="60" spans="1:11" s="11" customFormat="1" ht="25.5">
      <c r="A60" s="39"/>
      <c r="B60" s="39" t="s">
        <v>185</v>
      </c>
      <c r="C60" s="40"/>
      <c r="D60" s="41" t="s">
        <v>186</v>
      </c>
      <c r="E60" s="39" t="s">
        <v>55</v>
      </c>
      <c r="F60" s="42" t="s">
        <v>187</v>
      </c>
      <c r="G60" s="39"/>
      <c r="H60" s="43" t="s">
        <v>56</v>
      </c>
      <c r="I60" s="44" t="s">
        <v>93</v>
      </c>
      <c r="J60" s="45" t="s">
        <v>86</v>
      </c>
      <c r="K60" s="39"/>
    </row>
    <row r="61" spans="1:11" s="11" customFormat="1" ht="15">
      <c r="A61" s="12" t="s">
        <v>93</v>
      </c>
      <c r="B61" s="12" t="s">
        <v>188</v>
      </c>
      <c r="C61" s="34" t="str">
        <f>DEC2HEX(HEX2DEC(C54)+4)</f>
        <v>44</v>
      </c>
      <c r="D61" s="13" t="s">
        <v>189</v>
      </c>
      <c r="E61" s="12" t="s">
        <v>54</v>
      </c>
      <c r="F61" s="32" t="s">
        <v>61</v>
      </c>
      <c r="G61" s="24" t="s">
        <v>278</v>
      </c>
      <c r="H61" s="24" t="s">
        <v>56</v>
      </c>
      <c r="I61" s="12" t="s">
        <v>93</v>
      </c>
      <c r="J61" s="33" t="s">
        <v>62</v>
      </c>
      <c r="K61" s="12"/>
    </row>
    <row r="62" spans="1:11" s="11" customFormat="1" ht="25.5">
      <c r="A62" s="39"/>
      <c r="B62" s="39" t="s">
        <v>190</v>
      </c>
      <c r="C62" s="40"/>
      <c r="D62" s="41" t="s">
        <v>191</v>
      </c>
      <c r="E62" s="39" t="s">
        <v>55</v>
      </c>
      <c r="F62" s="42" t="s">
        <v>81</v>
      </c>
      <c r="G62" s="39"/>
      <c r="H62" s="43" t="s">
        <v>56</v>
      </c>
      <c r="I62" s="44" t="s">
        <v>93</v>
      </c>
      <c r="J62" s="45" t="s">
        <v>82</v>
      </c>
      <c r="K62" s="39"/>
    </row>
    <row r="63" spans="1:11" s="11" customFormat="1" ht="25.5">
      <c r="A63" s="39"/>
      <c r="B63" s="39" t="s">
        <v>192</v>
      </c>
      <c r="C63" s="40"/>
      <c r="D63" s="41" t="s">
        <v>193</v>
      </c>
      <c r="E63" s="39" t="s">
        <v>55</v>
      </c>
      <c r="F63" s="42" t="s">
        <v>196</v>
      </c>
      <c r="G63" s="39"/>
      <c r="H63" s="43" t="s">
        <v>56</v>
      </c>
      <c r="I63" s="44" t="s">
        <v>93</v>
      </c>
      <c r="J63" s="45" t="s">
        <v>92</v>
      </c>
      <c r="K63" s="39"/>
    </row>
    <row r="64" spans="1:11" s="11" customFormat="1" ht="25.5">
      <c r="A64" s="39"/>
      <c r="B64" s="39" t="s">
        <v>194</v>
      </c>
      <c r="C64" s="40"/>
      <c r="D64" s="41" t="s">
        <v>195</v>
      </c>
      <c r="E64" s="39" t="s">
        <v>55</v>
      </c>
      <c r="F64" s="42" t="s">
        <v>197</v>
      </c>
      <c r="G64" s="39"/>
      <c r="H64" s="43" t="s">
        <v>56</v>
      </c>
      <c r="I64" s="44" t="s">
        <v>93</v>
      </c>
      <c r="J64" s="45" t="s">
        <v>92</v>
      </c>
      <c r="K64" s="39"/>
    </row>
    <row r="65" spans="1:11" s="11" customFormat="1" ht="25.5">
      <c r="A65" s="39"/>
      <c r="B65" s="39" t="s">
        <v>198</v>
      </c>
      <c r="C65" s="40"/>
      <c r="D65" s="41" t="s">
        <v>199</v>
      </c>
      <c r="E65" s="39" t="s">
        <v>55</v>
      </c>
      <c r="F65" s="42" t="s">
        <v>200</v>
      </c>
      <c r="G65" s="39"/>
      <c r="H65" s="43" t="s">
        <v>56</v>
      </c>
      <c r="I65" s="44" t="s">
        <v>93</v>
      </c>
      <c r="J65" s="45" t="s">
        <v>157</v>
      </c>
      <c r="K65" s="39"/>
    </row>
    <row r="66" spans="1:11" s="11" customFormat="1" ht="15">
      <c r="A66" s="12" t="s">
        <v>93</v>
      </c>
      <c r="B66" s="12" t="s">
        <v>201</v>
      </c>
      <c r="C66" s="34" t="str">
        <f>DEC2HEX(HEX2DEC(C61)+4)</f>
        <v>48</v>
      </c>
      <c r="D66" s="13" t="s">
        <v>202</v>
      </c>
      <c r="E66" s="12" t="s">
        <v>54</v>
      </c>
      <c r="F66" s="32" t="s">
        <v>61</v>
      </c>
      <c r="G66" s="24" t="s">
        <v>278</v>
      </c>
      <c r="H66" s="24" t="s">
        <v>56</v>
      </c>
      <c r="I66" s="12" t="s">
        <v>93</v>
      </c>
      <c r="J66" s="33" t="s">
        <v>62</v>
      </c>
      <c r="K66" s="12"/>
    </row>
    <row r="67" spans="1:11" s="11" customFormat="1" ht="25.5">
      <c r="A67" s="39"/>
      <c r="B67" s="39" t="s">
        <v>203</v>
      </c>
      <c r="C67" s="40"/>
      <c r="D67" s="41" t="s">
        <v>204</v>
      </c>
      <c r="E67" s="39" t="s">
        <v>55</v>
      </c>
      <c r="F67" s="42" t="s">
        <v>83</v>
      </c>
      <c r="G67" s="39"/>
      <c r="H67" s="43" t="s">
        <v>56</v>
      </c>
      <c r="I67" s="44" t="s">
        <v>93</v>
      </c>
      <c r="J67" s="45" t="s">
        <v>91</v>
      </c>
      <c r="K67" s="39"/>
    </row>
    <row r="68" spans="1:11" s="11" customFormat="1" ht="25.5">
      <c r="A68" s="39"/>
      <c r="B68" s="39" t="s">
        <v>205</v>
      </c>
      <c r="C68" s="40"/>
      <c r="D68" s="41" t="s">
        <v>206</v>
      </c>
      <c r="E68" s="39" t="s">
        <v>55</v>
      </c>
      <c r="F68" s="42" t="s">
        <v>207</v>
      </c>
      <c r="G68" s="39"/>
      <c r="H68" s="43" t="s">
        <v>56</v>
      </c>
      <c r="I68" s="44" t="s">
        <v>93</v>
      </c>
      <c r="J68" s="45" t="s">
        <v>153</v>
      </c>
      <c r="K68" s="39"/>
    </row>
    <row r="69" spans="1:11" s="11" customFormat="1" ht="15">
      <c r="A69" s="12" t="s">
        <v>93</v>
      </c>
      <c r="B69" s="12" t="s">
        <v>208</v>
      </c>
      <c r="C69" s="34" t="str">
        <f>DEC2HEX(HEX2DEC(C66)+4)</f>
        <v>4C</v>
      </c>
      <c r="D69" s="13" t="s">
        <v>202</v>
      </c>
      <c r="E69" s="12" t="s">
        <v>54</v>
      </c>
      <c r="F69" s="32" t="s">
        <v>61</v>
      </c>
      <c r="G69" s="24" t="s">
        <v>278</v>
      </c>
      <c r="H69" s="24" t="s">
        <v>56</v>
      </c>
      <c r="I69" s="12" t="s">
        <v>93</v>
      </c>
      <c r="J69" s="33" t="s">
        <v>62</v>
      </c>
      <c r="K69" s="12"/>
    </row>
    <row r="70" spans="1:11" s="11" customFormat="1" ht="25.5">
      <c r="A70" s="39"/>
      <c r="B70" s="39" t="s">
        <v>209</v>
      </c>
      <c r="C70" s="40"/>
      <c r="D70" s="41" t="s">
        <v>210</v>
      </c>
      <c r="E70" s="39" t="s">
        <v>55</v>
      </c>
      <c r="F70" s="42" t="s">
        <v>83</v>
      </c>
      <c r="G70" s="39"/>
      <c r="H70" s="43" t="s">
        <v>56</v>
      </c>
      <c r="I70" s="44" t="s">
        <v>93</v>
      </c>
      <c r="J70" s="45" t="s">
        <v>91</v>
      </c>
      <c r="K70" s="39"/>
    </row>
    <row r="71" spans="1:11" s="11" customFormat="1" ht="25.5">
      <c r="A71" s="39"/>
      <c r="B71" s="39" t="s">
        <v>211</v>
      </c>
      <c r="C71" s="40"/>
      <c r="D71" s="41" t="s">
        <v>212</v>
      </c>
      <c r="E71" s="39" t="s">
        <v>55</v>
      </c>
      <c r="F71" s="42" t="s">
        <v>207</v>
      </c>
      <c r="G71" s="39"/>
      <c r="H71" s="43" t="s">
        <v>56</v>
      </c>
      <c r="I71" s="44" t="s">
        <v>93</v>
      </c>
      <c r="J71" s="45" t="s">
        <v>153</v>
      </c>
      <c r="K71" s="39"/>
    </row>
    <row r="72" spans="1:11" s="11" customFormat="1" ht="15">
      <c r="A72" s="12" t="s">
        <v>93</v>
      </c>
      <c r="B72" s="12" t="s">
        <v>213</v>
      </c>
      <c r="C72" s="34" t="str">
        <f>DEC2HEX(HEX2DEC(C69)+4)</f>
        <v>50</v>
      </c>
      <c r="D72" s="13" t="s">
        <v>202</v>
      </c>
      <c r="E72" s="12" t="s">
        <v>54</v>
      </c>
      <c r="F72" s="32" t="s">
        <v>61</v>
      </c>
      <c r="G72" s="24" t="s">
        <v>278</v>
      </c>
      <c r="H72" s="24" t="s">
        <v>56</v>
      </c>
      <c r="I72" s="12" t="s">
        <v>93</v>
      </c>
      <c r="J72" s="33" t="s">
        <v>62</v>
      </c>
      <c r="K72" s="12"/>
    </row>
    <row r="73" spans="1:11" s="11" customFormat="1" ht="25.5">
      <c r="A73" s="39"/>
      <c r="B73" s="39" t="s">
        <v>214</v>
      </c>
      <c r="C73" s="40"/>
      <c r="D73" s="41" t="s">
        <v>217</v>
      </c>
      <c r="E73" s="39" t="s">
        <v>55</v>
      </c>
      <c r="F73" s="42" t="s">
        <v>83</v>
      </c>
      <c r="G73" s="39"/>
      <c r="H73" s="43" t="s">
        <v>56</v>
      </c>
      <c r="I73" s="44" t="s">
        <v>93</v>
      </c>
      <c r="J73" s="45" t="s">
        <v>91</v>
      </c>
      <c r="K73" s="39"/>
    </row>
    <row r="74" spans="1:11" s="11" customFormat="1" ht="25.5">
      <c r="A74" s="39"/>
      <c r="B74" s="39" t="s">
        <v>215</v>
      </c>
      <c r="C74" s="40"/>
      <c r="D74" s="41" t="s">
        <v>216</v>
      </c>
      <c r="E74" s="39" t="s">
        <v>55</v>
      </c>
      <c r="F74" s="42" t="s">
        <v>207</v>
      </c>
      <c r="G74" s="39"/>
      <c r="H74" s="43" t="s">
        <v>56</v>
      </c>
      <c r="I74" s="44" t="s">
        <v>93</v>
      </c>
      <c r="J74" s="45" t="s">
        <v>153</v>
      </c>
      <c r="K74" s="39"/>
    </row>
    <row r="75" spans="1:11" s="11" customFormat="1" ht="25.5">
      <c r="A75" s="39"/>
      <c r="B75" s="39" t="s">
        <v>219</v>
      </c>
      <c r="C75" s="40"/>
      <c r="D75" s="41" t="s">
        <v>218</v>
      </c>
      <c r="E75" s="39" t="s">
        <v>55</v>
      </c>
      <c r="F75" s="42" t="s">
        <v>220</v>
      </c>
      <c r="G75" s="39"/>
      <c r="H75" s="43" t="s">
        <v>56</v>
      </c>
      <c r="I75" s="44" t="s">
        <v>93</v>
      </c>
      <c r="J75" s="45" t="s">
        <v>142</v>
      </c>
      <c r="K75" s="39"/>
    </row>
    <row r="76" spans="1:11" s="11" customFormat="1" ht="15">
      <c r="A76" s="12" t="s">
        <v>93</v>
      </c>
      <c r="B76" s="12" t="s">
        <v>221</v>
      </c>
      <c r="C76" s="34" t="str">
        <f>DEC2HEX(HEX2DEC(C72)+4)</f>
        <v>54</v>
      </c>
      <c r="D76" s="13" t="s">
        <v>202</v>
      </c>
      <c r="E76" s="12" t="s">
        <v>54</v>
      </c>
      <c r="F76" s="32" t="s">
        <v>61</v>
      </c>
      <c r="G76" s="24" t="s">
        <v>278</v>
      </c>
      <c r="H76" s="24" t="s">
        <v>56</v>
      </c>
      <c r="I76" s="12" t="s">
        <v>93</v>
      </c>
      <c r="J76" s="33" t="s">
        <v>62</v>
      </c>
      <c r="K76" s="12"/>
    </row>
    <row r="77" spans="1:11" s="11" customFormat="1" ht="25.5">
      <c r="A77" s="39"/>
      <c r="B77" s="39" t="s">
        <v>222</v>
      </c>
      <c r="C77" s="40"/>
      <c r="D77" s="41" t="s">
        <v>223</v>
      </c>
      <c r="E77" s="39" t="s">
        <v>55</v>
      </c>
      <c r="F77" s="42" t="s">
        <v>119</v>
      </c>
      <c r="G77" s="39"/>
      <c r="H77" s="43" t="s">
        <v>56</v>
      </c>
      <c r="I77" s="44" t="s">
        <v>93</v>
      </c>
      <c r="J77" s="45" t="s">
        <v>123</v>
      </c>
      <c r="K77" s="39"/>
    </row>
    <row r="78" spans="1:11" s="11" customFormat="1" ht="25.5">
      <c r="A78" s="39"/>
      <c r="B78" s="39" t="s">
        <v>224</v>
      </c>
      <c r="C78" s="40"/>
      <c r="D78" s="41" t="s">
        <v>225</v>
      </c>
      <c r="E78" s="39" t="s">
        <v>55</v>
      </c>
      <c r="F78" s="42" t="s">
        <v>226</v>
      </c>
      <c r="G78" s="39"/>
      <c r="H78" s="43" t="s">
        <v>56</v>
      </c>
      <c r="I78" s="44" t="s">
        <v>93</v>
      </c>
      <c r="J78" s="45" t="s">
        <v>82</v>
      </c>
      <c r="K78" s="39"/>
    </row>
    <row r="79" spans="1:11" s="11" customFormat="1" ht="25.5">
      <c r="A79" s="39"/>
      <c r="B79" s="39" t="s">
        <v>227</v>
      </c>
      <c r="C79" s="40"/>
      <c r="D79" s="41" t="s">
        <v>228</v>
      </c>
      <c r="E79" s="39" t="s">
        <v>55</v>
      </c>
      <c r="F79" s="42" t="s">
        <v>87</v>
      </c>
      <c r="G79" s="39"/>
      <c r="H79" s="43" t="s">
        <v>56</v>
      </c>
      <c r="I79" s="44" t="s">
        <v>93</v>
      </c>
      <c r="J79" s="45" t="s">
        <v>86</v>
      </c>
      <c r="K79" s="39"/>
    </row>
    <row r="80" spans="1:11" s="11" customFormat="1" ht="25.5">
      <c r="A80" s="39"/>
      <c r="B80" s="39" t="s">
        <v>229</v>
      </c>
      <c r="C80" s="40"/>
      <c r="D80" s="41" t="s">
        <v>230</v>
      </c>
      <c r="E80" s="39" t="s">
        <v>55</v>
      </c>
      <c r="F80" s="42" t="s">
        <v>178</v>
      </c>
      <c r="G80" s="39"/>
      <c r="H80" s="43" t="s">
        <v>56</v>
      </c>
      <c r="I80" s="44" t="s">
        <v>93</v>
      </c>
      <c r="J80" s="45" t="s">
        <v>82</v>
      </c>
      <c r="K80" s="39"/>
    </row>
    <row r="81" spans="1:11" s="11" customFormat="1" ht="25.5">
      <c r="A81" s="39"/>
      <c r="B81" s="39" t="s">
        <v>231</v>
      </c>
      <c r="C81" s="40"/>
      <c r="D81" s="41" t="s">
        <v>232</v>
      </c>
      <c r="E81" s="39" t="s">
        <v>55</v>
      </c>
      <c r="F81" s="42" t="s">
        <v>233</v>
      </c>
      <c r="G81" s="39"/>
      <c r="H81" s="43" t="s">
        <v>56</v>
      </c>
      <c r="I81" s="44" t="s">
        <v>93</v>
      </c>
      <c r="J81" s="45" t="s">
        <v>92</v>
      </c>
      <c r="K81" s="39"/>
    </row>
    <row r="82" spans="1:11" s="11" customFormat="1" ht="25.5">
      <c r="A82" s="39"/>
      <c r="B82" s="39" t="s">
        <v>234</v>
      </c>
      <c r="C82" s="40"/>
      <c r="D82" s="41" t="s">
        <v>235</v>
      </c>
      <c r="E82" s="39" t="s">
        <v>55</v>
      </c>
      <c r="F82" s="42" t="s">
        <v>90</v>
      </c>
      <c r="G82" s="39"/>
      <c r="H82" s="43" t="s">
        <v>56</v>
      </c>
      <c r="I82" s="44" t="s">
        <v>93</v>
      </c>
      <c r="J82" s="45" t="s">
        <v>92</v>
      </c>
      <c r="K82" s="39"/>
    </row>
    <row r="83" spans="1:11" s="11" customFormat="1" ht="25.5">
      <c r="A83" s="39"/>
      <c r="B83" s="39" t="s">
        <v>236</v>
      </c>
      <c r="C83" s="40"/>
      <c r="D83" s="41" t="s">
        <v>237</v>
      </c>
      <c r="E83" s="39" t="s">
        <v>55</v>
      </c>
      <c r="F83" s="42" t="s">
        <v>89</v>
      </c>
      <c r="G83" s="39"/>
      <c r="H83" s="43" t="s">
        <v>56</v>
      </c>
      <c r="I83" s="44" t="s">
        <v>93</v>
      </c>
      <c r="J83" s="45" t="s">
        <v>86</v>
      </c>
      <c r="K83" s="39"/>
    </row>
    <row r="84" spans="1:11" s="11" customFormat="1" ht="15">
      <c r="A84" s="12" t="s">
        <v>93</v>
      </c>
      <c r="B84" s="12" t="s">
        <v>238</v>
      </c>
      <c r="C84" s="34" t="str">
        <f>DEC2HEX(HEX2DEC(C76)+4)</f>
        <v>58</v>
      </c>
      <c r="D84" s="13" t="s">
        <v>242</v>
      </c>
      <c r="E84" s="12" t="s">
        <v>54</v>
      </c>
      <c r="F84" s="32" t="s">
        <v>61</v>
      </c>
      <c r="G84" s="24" t="s">
        <v>278</v>
      </c>
      <c r="H84" s="24" t="s">
        <v>56</v>
      </c>
      <c r="I84" s="12" t="s">
        <v>93</v>
      </c>
      <c r="J84" s="33" t="s">
        <v>62</v>
      </c>
      <c r="K84" s="12"/>
    </row>
    <row r="85" spans="1:11" s="11" customFormat="1" ht="25.5">
      <c r="A85" s="39"/>
      <c r="B85" s="39" t="s">
        <v>239</v>
      </c>
      <c r="C85" s="40"/>
      <c r="D85" s="41" t="s">
        <v>240</v>
      </c>
      <c r="E85" s="39" t="s">
        <v>55</v>
      </c>
      <c r="F85" s="42" t="s">
        <v>61</v>
      </c>
      <c r="G85" s="39"/>
      <c r="H85" s="43" t="s">
        <v>56</v>
      </c>
      <c r="I85" s="44" t="s">
        <v>93</v>
      </c>
      <c r="J85" s="45" t="s">
        <v>62</v>
      </c>
      <c r="K85" s="39"/>
    </row>
    <row r="86" spans="1:11" s="11" customFormat="1" ht="15">
      <c r="A86" s="12" t="s">
        <v>93</v>
      </c>
      <c r="B86" s="12" t="s">
        <v>241</v>
      </c>
      <c r="C86" s="34" t="str">
        <f>DEC2HEX(HEX2DEC(C84)+4)</f>
        <v>5C</v>
      </c>
      <c r="D86" s="13" t="s">
        <v>243</v>
      </c>
      <c r="E86" s="12" t="s">
        <v>54</v>
      </c>
      <c r="F86" s="32" t="s">
        <v>61</v>
      </c>
      <c r="G86" s="24" t="s">
        <v>278</v>
      </c>
      <c r="H86" s="24" t="s">
        <v>56</v>
      </c>
      <c r="I86" s="12" t="s">
        <v>93</v>
      </c>
      <c r="J86" s="33" t="s">
        <v>62</v>
      </c>
      <c r="K86" s="12"/>
    </row>
    <row r="87" spans="1:11" s="11" customFormat="1" ht="25.5">
      <c r="A87" s="39"/>
      <c r="B87" s="39" t="s">
        <v>244</v>
      </c>
      <c r="C87" s="40"/>
      <c r="D87" s="41" t="s">
        <v>245</v>
      </c>
      <c r="E87" s="39" t="s">
        <v>55</v>
      </c>
      <c r="F87" s="42" t="s">
        <v>61</v>
      </c>
      <c r="G87" s="39"/>
      <c r="H87" s="43" t="s">
        <v>56</v>
      </c>
      <c r="I87" s="44" t="s">
        <v>93</v>
      </c>
      <c r="J87" s="45" t="s">
        <v>62</v>
      </c>
      <c r="K87" s="39"/>
    </row>
    <row r="88" spans="1:11" s="11" customFormat="1" ht="15">
      <c r="A88" s="12" t="s">
        <v>93</v>
      </c>
      <c r="B88" s="12" t="s">
        <v>246</v>
      </c>
      <c r="C88" s="34" t="str">
        <f>DEC2HEX(HEX2DEC(C86)+4)</f>
        <v>60</v>
      </c>
      <c r="D88" s="13" t="s">
        <v>247</v>
      </c>
      <c r="E88" s="12" t="s">
        <v>54</v>
      </c>
      <c r="F88" s="32" t="s">
        <v>61</v>
      </c>
      <c r="G88" s="24" t="s">
        <v>278</v>
      </c>
      <c r="H88" s="24" t="s">
        <v>56</v>
      </c>
      <c r="I88" s="12" t="s">
        <v>93</v>
      </c>
      <c r="J88" s="33" t="s">
        <v>62</v>
      </c>
      <c r="K88" s="12"/>
    </row>
    <row r="89" spans="1:11" s="11" customFormat="1" ht="25.5">
      <c r="A89" s="39"/>
      <c r="B89" s="39" t="s">
        <v>248</v>
      </c>
      <c r="C89" s="40"/>
      <c r="D89" s="41" t="s">
        <v>249</v>
      </c>
      <c r="E89" s="39" t="s">
        <v>55</v>
      </c>
      <c r="F89" s="42" t="s">
        <v>61</v>
      </c>
      <c r="G89" s="39"/>
      <c r="H89" s="43" t="s">
        <v>56</v>
      </c>
      <c r="I89" s="44" t="s">
        <v>93</v>
      </c>
      <c r="J89" s="45" t="s">
        <v>62</v>
      </c>
      <c r="K89" s="39"/>
    </row>
    <row r="90" spans="1:11" s="11" customFormat="1" ht="15">
      <c r="A90" s="12" t="s">
        <v>93</v>
      </c>
      <c r="B90" s="12" t="s">
        <v>250</v>
      </c>
      <c r="C90" s="34" t="str">
        <f>DEC2HEX(HEX2DEC(C88)+4)</f>
        <v>64</v>
      </c>
      <c r="D90" s="13" t="s">
        <v>252</v>
      </c>
      <c r="E90" s="12" t="s">
        <v>54</v>
      </c>
      <c r="F90" s="32" t="s">
        <v>61</v>
      </c>
      <c r="G90" s="24" t="s">
        <v>278</v>
      </c>
      <c r="H90" s="24" t="s">
        <v>56</v>
      </c>
      <c r="I90" s="12" t="s">
        <v>93</v>
      </c>
      <c r="J90" s="33" t="s">
        <v>62</v>
      </c>
      <c r="K90" s="12"/>
    </row>
    <row r="91" spans="1:11" s="11" customFormat="1" ht="25.5">
      <c r="A91" s="39"/>
      <c r="B91" s="39" t="s">
        <v>248</v>
      </c>
      <c r="C91" s="40"/>
      <c r="D91" s="41" t="s">
        <v>251</v>
      </c>
      <c r="E91" s="39" t="s">
        <v>55</v>
      </c>
      <c r="F91" s="42" t="s">
        <v>61</v>
      </c>
      <c r="G91" s="39"/>
      <c r="H91" s="43" t="s">
        <v>56</v>
      </c>
      <c r="I91" s="44" t="s">
        <v>93</v>
      </c>
      <c r="J91" s="45" t="s">
        <v>62</v>
      </c>
      <c r="K91" s="39"/>
    </row>
    <row r="92" spans="1:11" s="11" customFormat="1" ht="15">
      <c r="A92" s="12" t="s">
        <v>93</v>
      </c>
      <c r="B92" s="12" t="s">
        <v>253</v>
      </c>
      <c r="C92" s="34" t="str">
        <f>DEC2HEX(HEX2DEC(C90)+4)</f>
        <v>68</v>
      </c>
      <c r="D92" s="13" t="s">
        <v>254</v>
      </c>
      <c r="E92" s="12" t="s">
        <v>54</v>
      </c>
      <c r="F92" s="32" t="s">
        <v>61</v>
      </c>
      <c r="G92" s="24" t="s">
        <v>278</v>
      </c>
      <c r="H92" s="24" t="s">
        <v>56</v>
      </c>
      <c r="I92" s="12" t="s">
        <v>93</v>
      </c>
      <c r="J92" s="33" t="s">
        <v>62</v>
      </c>
      <c r="K92" s="12"/>
    </row>
    <row r="93" spans="1:11" s="11" customFormat="1" ht="25.5">
      <c r="A93" s="39"/>
      <c r="B93" s="39" t="s">
        <v>255</v>
      </c>
      <c r="C93" s="40"/>
      <c r="D93" s="41" t="s">
        <v>256</v>
      </c>
      <c r="E93" s="39" t="s">
        <v>55</v>
      </c>
      <c r="F93" s="42" t="s">
        <v>119</v>
      </c>
      <c r="G93" s="39"/>
      <c r="H93" s="43" t="s">
        <v>56</v>
      </c>
      <c r="I93" s="44" t="s">
        <v>93</v>
      </c>
      <c r="J93" s="45" t="s">
        <v>123</v>
      </c>
      <c r="K93" s="39"/>
    </row>
    <row r="94" spans="1:11" s="11" customFormat="1" ht="25.5">
      <c r="A94" s="39"/>
      <c r="B94" s="39" t="s">
        <v>257</v>
      </c>
      <c r="C94" s="40"/>
      <c r="D94" s="41" t="s">
        <v>258</v>
      </c>
      <c r="E94" s="39" t="s">
        <v>55</v>
      </c>
      <c r="F94" s="42" t="s">
        <v>84</v>
      </c>
      <c r="G94" s="39"/>
      <c r="H94" s="43" t="s">
        <v>56</v>
      </c>
      <c r="I94" s="44" t="s">
        <v>93</v>
      </c>
      <c r="J94" s="45" t="s">
        <v>86</v>
      </c>
      <c r="K94" s="39"/>
    </row>
    <row r="95" spans="1:11" s="11" customFormat="1" ht="25.5">
      <c r="A95" s="39"/>
      <c r="B95" s="39" t="s">
        <v>260</v>
      </c>
      <c r="C95" s="40"/>
      <c r="D95" s="41" t="s">
        <v>259</v>
      </c>
      <c r="E95" s="39" t="s">
        <v>55</v>
      </c>
      <c r="F95" s="42" t="s">
        <v>85</v>
      </c>
      <c r="G95" s="39"/>
      <c r="H95" s="43" t="s">
        <v>56</v>
      </c>
      <c r="I95" s="44" t="s">
        <v>93</v>
      </c>
      <c r="J95" s="45" t="s">
        <v>86</v>
      </c>
      <c r="K95" s="39"/>
    </row>
    <row r="96" spans="1:11" s="11" customFormat="1" ht="25.5">
      <c r="A96" s="39"/>
      <c r="B96" s="39" t="s">
        <v>261</v>
      </c>
      <c r="C96" s="40"/>
      <c r="D96" s="41" t="s">
        <v>262</v>
      </c>
      <c r="E96" s="39" t="s">
        <v>55</v>
      </c>
      <c r="F96" s="42" t="s">
        <v>141</v>
      </c>
      <c r="G96" s="39"/>
      <c r="H96" s="43" t="s">
        <v>56</v>
      </c>
      <c r="I96" s="44" t="s">
        <v>93</v>
      </c>
      <c r="J96" s="45" t="s">
        <v>142</v>
      </c>
      <c r="K96" s="39"/>
    </row>
    <row r="97" spans="1:11" s="11" customFormat="1" ht="25.5">
      <c r="A97" s="39"/>
      <c r="B97" s="39" t="s">
        <v>263</v>
      </c>
      <c r="C97" s="40"/>
      <c r="D97" s="41" t="s">
        <v>264</v>
      </c>
      <c r="E97" s="39" t="s">
        <v>55</v>
      </c>
      <c r="F97" s="42" t="s">
        <v>88</v>
      </c>
      <c r="G97" s="39"/>
      <c r="H97" s="43" t="s">
        <v>56</v>
      </c>
      <c r="I97" s="44" t="s">
        <v>93</v>
      </c>
      <c r="J97" s="45" t="s">
        <v>86</v>
      </c>
      <c r="K97" s="39"/>
    </row>
    <row r="98" spans="1:11" s="11" customFormat="1" ht="25.5">
      <c r="A98" s="39"/>
      <c r="B98" s="39" t="s">
        <v>266</v>
      </c>
      <c r="C98" s="40"/>
      <c r="D98" s="41" t="s">
        <v>267</v>
      </c>
      <c r="E98" s="39" t="s">
        <v>55</v>
      </c>
      <c r="F98" s="42" t="s">
        <v>265</v>
      </c>
      <c r="G98" s="39"/>
      <c r="H98" s="43" t="s">
        <v>56</v>
      </c>
      <c r="I98" s="44" t="s">
        <v>93</v>
      </c>
      <c r="J98" s="45" t="s">
        <v>82</v>
      </c>
      <c r="K98" s="39"/>
    </row>
    <row r="99" spans="1:11" s="11" customFormat="1" ht="25.5">
      <c r="A99" s="39"/>
      <c r="B99" s="39" t="s">
        <v>268</v>
      </c>
      <c r="C99" s="40"/>
      <c r="D99" s="41" t="s">
        <v>269</v>
      </c>
      <c r="E99" s="39" t="s">
        <v>55</v>
      </c>
      <c r="F99" s="42" t="s">
        <v>270</v>
      </c>
      <c r="G99" s="39"/>
      <c r="H99" s="43" t="s">
        <v>56</v>
      </c>
      <c r="I99" s="44" t="s">
        <v>93</v>
      </c>
      <c r="J99" s="45" t="s">
        <v>271</v>
      </c>
      <c r="K99" s="39"/>
    </row>
    <row r="100" spans="1:11" s="11" customFormat="1" ht="25.5">
      <c r="A100" s="39"/>
      <c r="B100" s="39" t="s">
        <v>272</v>
      </c>
      <c r="C100" s="40"/>
      <c r="D100" s="41" t="s">
        <v>273</v>
      </c>
      <c r="E100" s="39" t="s">
        <v>55</v>
      </c>
      <c r="F100" s="42" t="s">
        <v>274</v>
      </c>
      <c r="G100" s="39"/>
      <c r="H100" s="43" t="s">
        <v>56</v>
      </c>
      <c r="I100" s="44" t="s">
        <v>93</v>
      </c>
      <c r="J100" s="45" t="s">
        <v>142</v>
      </c>
      <c r="K100" s="39"/>
    </row>
    <row r="101" spans="1:11" s="11" customFormat="1" ht="27" customHeight="1">
      <c r="A101" s="16"/>
      <c r="B101" s="15"/>
      <c r="C101" s="21"/>
      <c r="D101" s="17"/>
      <c r="E101" s="15"/>
      <c r="F101" s="20"/>
      <c r="G101" s="14"/>
      <c r="H101" s="19"/>
      <c r="I101" s="18"/>
      <c r="J10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2015-09-17T09:29:42Z</dcterms:modified>
</cp:coreProperties>
</file>